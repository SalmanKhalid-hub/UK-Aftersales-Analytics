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alman/Documents/UK-Aftersales-Analytics/excel/"/>
    </mc:Choice>
  </mc:AlternateContent>
  <xr:revisionPtr revIDLastSave="0" documentId="13_ncr:1_{5BA578AB-BB67-5A4F-99E8-EFB5FDF304FF}" xr6:coauthVersionLast="47" xr6:coauthVersionMax="47" xr10:uidLastSave="{00000000-0000-0000-0000-000000000000}"/>
  <bookViews>
    <workbookView minimized="1" xWindow="14260" yWindow="1100" windowWidth="14720" windowHeight="17280" activeTab="1" xr2:uid="{31ADA734-D3F0-384A-8B3D-F0468EE3B247}"/>
  </bookViews>
  <sheets>
    <sheet name="Data" sheetId="1" r:id="rId1"/>
    <sheet name="Scorecard" sheetId="2" r:id="rId2"/>
  </sheets>
  <definedNames>
    <definedName name="_xleta.INDEX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2" l="1"/>
  <c r="C8" i="2"/>
  <c r="B8" i="2"/>
  <c r="D7" i="2"/>
  <c r="C7" i="2"/>
  <c r="B7" i="2"/>
  <c r="B4" i="2"/>
</calcChain>
</file>

<file path=xl/sharedStrings.xml><?xml version="1.0" encoding="utf-8"?>
<sst xmlns="http://schemas.openxmlformats.org/spreadsheetml/2006/main" count="168" uniqueCount="126">
  <si>
    <t>dealer_id</t>
  </si>
  <si>
    <t>dealer_name</t>
  </si>
  <si>
    <t>region</t>
  </si>
  <si>
    <t>total_jobs</t>
  </si>
  <si>
    <t>closed_jobs</t>
  </si>
  <si>
    <t>open_jobs</t>
  </si>
  <si>
    <t>invalid_date_jobs</t>
  </si>
  <si>
    <t>avg_cost_per_job_gbp</t>
  </si>
  <si>
    <t>median_turnaround_days</t>
  </si>
  <si>
    <t>D001</t>
  </si>
  <si>
    <t>READING BRANCH</t>
  </si>
  <si>
    <t>South East</t>
  </si>
  <si>
    <t>D002</t>
  </si>
  <si>
    <t>OXFORD BRANCH</t>
  </si>
  <si>
    <t>D003</t>
  </si>
  <si>
    <t>GUILDFORD BRANCH</t>
  </si>
  <si>
    <t>D004</t>
  </si>
  <si>
    <t>BRIGHTON BRANCH</t>
  </si>
  <si>
    <t>D005</t>
  </si>
  <si>
    <t>MAIDSTONE BRANCH</t>
  </si>
  <si>
    <t>D006</t>
  </si>
  <si>
    <t>SOUTHAMPTON BRANCH</t>
  </si>
  <si>
    <t>D007</t>
  </si>
  <si>
    <t>PORTSMOUTH BRANCH</t>
  </si>
  <si>
    <t>D008</t>
  </si>
  <si>
    <t>MILTON KEYNES BRANCH</t>
  </si>
  <si>
    <t>D009</t>
  </si>
  <si>
    <t>CROYDON BRANCH</t>
  </si>
  <si>
    <t>London</t>
  </si>
  <si>
    <t>D010</t>
  </si>
  <si>
    <t>EALING BRANCH</t>
  </si>
  <si>
    <t>D011</t>
  </si>
  <si>
    <t>ENFIELD BRANCH</t>
  </si>
  <si>
    <t>D012</t>
  </si>
  <si>
    <t>ROMFORD BRANCH</t>
  </si>
  <si>
    <t>D013</t>
  </si>
  <si>
    <t>BRISTOL BRANCH</t>
  </si>
  <si>
    <t>South West</t>
  </si>
  <si>
    <t>D014</t>
  </si>
  <si>
    <t>EXETER BRANCH</t>
  </si>
  <si>
    <t>D015</t>
  </si>
  <si>
    <t>PLYMOUTH BRANCH</t>
  </si>
  <si>
    <t>D016</t>
  </si>
  <si>
    <t>SWINDON BRANCH</t>
  </si>
  <si>
    <t>D017</t>
  </si>
  <si>
    <t>BATH BRANCH</t>
  </si>
  <si>
    <t>D018</t>
  </si>
  <si>
    <t>BIRMINGHAM BRANCH</t>
  </si>
  <si>
    <t>Midlands</t>
  </si>
  <si>
    <t>D019</t>
  </si>
  <si>
    <t>COVENTRY BRANCH</t>
  </si>
  <si>
    <t>D020</t>
  </si>
  <si>
    <t>LEICESTER BRANCH</t>
  </si>
  <si>
    <t>D021</t>
  </si>
  <si>
    <t>NOTTINGHAM BRANCH</t>
  </si>
  <si>
    <t>D022</t>
  </si>
  <si>
    <t>DERBY BRANCH</t>
  </si>
  <si>
    <t>D023</t>
  </si>
  <si>
    <t>WOLVERHAMPTON BRANCH</t>
  </si>
  <si>
    <t>D024</t>
  </si>
  <si>
    <t>STOKE BRANCH</t>
  </si>
  <si>
    <t>D025</t>
  </si>
  <si>
    <t>NORTHAMPTON BRANCH</t>
  </si>
  <si>
    <t>D026</t>
  </si>
  <si>
    <t>CAMBRIDGE BRANCH</t>
  </si>
  <si>
    <t>East</t>
  </si>
  <si>
    <t>D027</t>
  </si>
  <si>
    <t>NORWICH BRANCH</t>
  </si>
  <si>
    <t>D028</t>
  </si>
  <si>
    <t>IPSWICH BRANCH</t>
  </si>
  <si>
    <t>D029</t>
  </si>
  <si>
    <t>PETERBOROUGH BRANCH</t>
  </si>
  <si>
    <t>D030</t>
  </si>
  <si>
    <t>MANCHESTER BRANCH</t>
  </si>
  <si>
    <t>North West</t>
  </si>
  <si>
    <t>D031</t>
  </si>
  <si>
    <t>LIVERPOOL BRANCH</t>
  </si>
  <si>
    <t>D032</t>
  </si>
  <si>
    <t>PRESTON BRANCH</t>
  </si>
  <si>
    <t>D033</t>
  </si>
  <si>
    <t>BOLTON BRANCH</t>
  </si>
  <si>
    <t>D034</t>
  </si>
  <si>
    <t>CHESTER BRANCH</t>
  </si>
  <si>
    <t>D035</t>
  </si>
  <si>
    <t>STOCKPORT BRANCH</t>
  </si>
  <si>
    <t>D036</t>
  </si>
  <si>
    <t>LEEDS BRANCH</t>
  </si>
  <si>
    <t>North East</t>
  </si>
  <si>
    <t>D037</t>
  </si>
  <si>
    <t>SHEFFIELD BRANCH</t>
  </si>
  <si>
    <t>D038</t>
  </si>
  <si>
    <t>YORK BRANCH</t>
  </si>
  <si>
    <t>D039</t>
  </si>
  <si>
    <t>NEWCASTLE BRANCH</t>
  </si>
  <si>
    <t>D040</t>
  </si>
  <si>
    <t>HULL BRANCH</t>
  </si>
  <si>
    <t>D041</t>
  </si>
  <si>
    <t>BRADFORD BRANCH</t>
  </si>
  <si>
    <t>D042</t>
  </si>
  <si>
    <t>SUNDERLAND BRANCH</t>
  </si>
  <si>
    <t>D043</t>
  </si>
  <si>
    <t>CARDIFF BRANCH</t>
  </si>
  <si>
    <t>Wales</t>
  </si>
  <si>
    <t>D044</t>
  </si>
  <si>
    <t>SWANSEA BRANCH</t>
  </si>
  <si>
    <t>D045</t>
  </si>
  <si>
    <t>NEWPORT BRANCH</t>
  </si>
  <si>
    <t>D046</t>
  </si>
  <si>
    <t>GLASGOW BRANCH</t>
  </si>
  <si>
    <t>Scotland</t>
  </si>
  <si>
    <t>D047</t>
  </si>
  <si>
    <t>EDINBURGH BRANCH</t>
  </si>
  <si>
    <t>D048</t>
  </si>
  <si>
    <t>ABERDEEN BRANCH</t>
  </si>
  <si>
    <t>D049</t>
  </si>
  <si>
    <t>DUNDEE BRANCH</t>
  </si>
  <si>
    <t>D050</t>
  </si>
  <si>
    <t>INVERNESS BRANCH</t>
  </si>
  <si>
    <t>Dealer ID</t>
  </si>
  <si>
    <t>Dealer name</t>
  </si>
  <si>
    <t>This dealer</t>
  </si>
  <si>
    <t>Network average</t>
  </si>
  <si>
    <t>Status</t>
  </si>
  <si>
    <t>Median turnaround (days)</t>
  </si>
  <si>
    <t>Dealer Scorecard 2024</t>
  </si>
  <si>
    <t>Average cost (£)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</si>
</sst>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0B8D9-E04F-9848-B469-6217293751AB}">
  <sheetPr codeName="Sheet1"/>
  <dimension ref="A1:I51"/>
  <sheetViews>
    <sheetView workbookViewId="0">
      <selection activeCell="A4" sqref="A4"/>
    </sheetView>
  </sheetViews>
  <sheetFormatPr baseColWidth="10" defaultRowHeight="16" x14ac:dyDescent="0.2"/>
  <cols>
    <col min="1" max="1" width="8.6640625" bestFit="1" customWidth="1"/>
    <col min="2" max="2" width="24.5" bestFit="1" customWidth="1"/>
    <col min="3" max="3" width="10.33203125" bestFit="1" customWidth="1"/>
    <col min="4" max="4" width="9.1640625" bestFit="1" customWidth="1"/>
    <col min="5" max="5" width="10.6640625" bestFit="1" customWidth="1"/>
    <col min="6" max="6" width="9.33203125" bestFit="1" customWidth="1"/>
    <col min="7" max="7" width="15.1640625" bestFit="1" customWidth="1"/>
    <col min="8" max="8" width="18.83203125" bestFit="1" customWidth="1"/>
    <col min="9" max="9" width="21.83203125" bestFit="1" customWidth="1"/>
  </cols>
  <sheetData>
    <row r="1" spans="1: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">
      <c r="A2" t="s">
        <v>9</v>
      </c>
      <c r="B2" t="s">
        <v>10</v>
      </c>
      <c r="C2" t="s">
        <v>11</v>
      </c>
      <c r="D2">
        <v>376</v>
      </c>
      <c r="E2">
        <v>369</v>
      </c>
      <c r="F2">
        <v>5</v>
      </c>
      <c r="G2">
        <v>2</v>
      </c>
      <c r="H2">
        <v>267.06</v>
      </c>
      <c r="I2">
        <v>2</v>
      </c>
    </row>
    <row r="3" spans="1:9" x14ac:dyDescent="0.2">
      <c r="A3" t="s">
        <v>12</v>
      </c>
      <c r="B3" t="s">
        <v>13</v>
      </c>
      <c r="C3" t="s">
        <v>11</v>
      </c>
      <c r="D3">
        <v>355</v>
      </c>
      <c r="E3">
        <v>351</v>
      </c>
      <c r="F3">
        <v>3</v>
      </c>
      <c r="G3">
        <v>1</v>
      </c>
      <c r="H3">
        <v>232.05</v>
      </c>
      <c r="I3">
        <v>2</v>
      </c>
    </row>
    <row r="4" spans="1:9" x14ac:dyDescent="0.2">
      <c r="A4" t="s">
        <v>14</v>
      </c>
      <c r="B4" t="s">
        <v>15</v>
      </c>
      <c r="C4" t="s">
        <v>11</v>
      </c>
      <c r="D4">
        <v>733</v>
      </c>
      <c r="E4">
        <v>725</v>
      </c>
      <c r="F4">
        <v>4</v>
      </c>
      <c r="G4">
        <v>4</v>
      </c>
      <c r="H4">
        <v>246.91</v>
      </c>
      <c r="I4">
        <v>2</v>
      </c>
    </row>
    <row r="5" spans="1:9" x14ac:dyDescent="0.2">
      <c r="A5" t="s">
        <v>16</v>
      </c>
      <c r="B5" t="s">
        <v>17</v>
      </c>
      <c r="C5" t="s">
        <v>11</v>
      </c>
      <c r="D5">
        <v>318</v>
      </c>
      <c r="E5">
        <v>310</v>
      </c>
      <c r="F5">
        <v>5</v>
      </c>
      <c r="G5">
        <v>3</v>
      </c>
      <c r="H5">
        <v>269.47000000000003</v>
      </c>
      <c r="I5">
        <v>2</v>
      </c>
    </row>
    <row r="6" spans="1:9" x14ac:dyDescent="0.2">
      <c r="A6" t="s">
        <v>18</v>
      </c>
      <c r="B6" t="s">
        <v>19</v>
      </c>
      <c r="C6" t="s">
        <v>11</v>
      </c>
      <c r="D6">
        <v>174</v>
      </c>
      <c r="E6">
        <v>172</v>
      </c>
      <c r="F6">
        <v>2</v>
      </c>
      <c r="G6">
        <v>0</v>
      </c>
      <c r="H6">
        <v>229.96</v>
      </c>
      <c r="I6">
        <v>1</v>
      </c>
    </row>
    <row r="7" spans="1:9" x14ac:dyDescent="0.2">
      <c r="A7" t="s">
        <v>20</v>
      </c>
      <c r="B7" t="s">
        <v>21</v>
      </c>
      <c r="C7" t="s">
        <v>11</v>
      </c>
      <c r="D7">
        <v>735</v>
      </c>
      <c r="E7">
        <v>714</v>
      </c>
      <c r="F7">
        <v>13</v>
      </c>
      <c r="G7">
        <v>8</v>
      </c>
      <c r="H7">
        <v>274.04000000000002</v>
      </c>
      <c r="I7">
        <v>2</v>
      </c>
    </row>
    <row r="8" spans="1:9" x14ac:dyDescent="0.2">
      <c r="A8" t="s">
        <v>22</v>
      </c>
      <c r="B8" t="s">
        <v>23</v>
      </c>
      <c r="C8" t="s">
        <v>11</v>
      </c>
      <c r="D8">
        <v>399</v>
      </c>
      <c r="E8">
        <v>392</v>
      </c>
      <c r="F8">
        <v>4</v>
      </c>
      <c r="G8">
        <v>3</v>
      </c>
      <c r="H8">
        <v>237.57</v>
      </c>
      <c r="I8">
        <v>2</v>
      </c>
    </row>
    <row r="9" spans="1:9" x14ac:dyDescent="0.2">
      <c r="A9" t="s">
        <v>24</v>
      </c>
      <c r="B9" t="s">
        <v>25</v>
      </c>
      <c r="C9" t="s">
        <v>11</v>
      </c>
      <c r="D9">
        <v>372</v>
      </c>
      <c r="E9">
        <v>365</v>
      </c>
      <c r="F9">
        <v>3</v>
      </c>
      <c r="G9">
        <v>4</v>
      </c>
      <c r="H9">
        <v>261.17</v>
      </c>
      <c r="I9">
        <v>4</v>
      </c>
    </row>
    <row r="10" spans="1:9" x14ac:dyDescent="0.2">
      <c r="A10" t="s">
        <v>26</v>
      </c>
      <c r="B10" t="s">
        <v>27</v>
      </c>
      <c r="C10" t="s">
        <v>28</v>
      </c>
      <c r="D10">
        <v>205</v>
      </c>
      <c r="E10">
        <v>202</v>
      </c>
      <c r="F10">
        <v>2</v>
      </c>
      <c r="G10">
        <v>1</v>
      </c>
      <c r="H10">
        <v>229.68</v>
      </c>
      <c r="I10">
        <v>2</v>
      </c>
    </row>
    <row r="11" spans="1:9" x14ac:dyDescent="0.2">
      <c r="A11" t="s">
        <v>29</v>
      </c>
      <c r="B11" t="s">
        <v>30</v>
      </c>
      <c r="C11" t="s">
        <v>28</v>
      </c>
      <c r="D11">
        <v>347</v>
      </c>
      <c r="E11">
        <v>341</v>
      </c>
      <c r="F11">
        <v>4</v>
      </c>
      <c r="G11">
        <v>2</v>
      </c>
      <c r="H11">
        <v>257.56</v>
      </c>
      <c r="I11">
        <v>3</v>
      </c>
    </row>
    <row r="12" spans="1:9" x14ac:dyDescent="0.2">
      <c r="A12" t="s">
        <v>31</v>
      </c>
      <c r="B12" t="s">
        <v>32</v>
      </c>
      <c r="C12" t="s">
        <v>28</v>
      </c>
      <c r="D12">
        <v>373</v>
      </c>
      <c r="E12">
        <v>365</v>
      </c>
      <c r="F12">
        <v>5</v>
      </c>
      <c r="G12">
        <v>3</v>
      </c>
      <c r="H12">
        <v>274.32</v>
      </c>
      <c r="I12">
        <v>2</v>
      </c>
    </row>
    <row r="13" spans="1:9" x14ac:dyDescent="0.2">
      <c r="A13" t="s">
        <v>33</v>
      </c>
      <c r="B13" t="s">
        <v>34</v>
      </c>
      <c r="C13" t="s">
        <v>28</v>
      </c>
      <c r="D13">
        <v>738</v>
      </c>
      <c r="E13">
        <v>718</v>
      </c>
      <c r="F13">
        <v>15</v>
      </c>
      <c r="G13">
        <v>5</v>
      </c>
      <c r="H13">
        <v>205.84</v>
      </c>
      <c r="I13">
        <v>2</v>
      </c>
    </row>
    <row r="14" spans="1:9" x14ac:dyDescent="0.2">
      <c r="A14" t="s">
        <v>35</v>
      </c>
      <c r="B14" t="s">
        <v>36</v>
      </c>
      <c r="C14" t="s">
        <v>37</v>
      </c>
      <c r="D14">
        <v>354</v>
      </c>
      <c r="E14">
        <v>348</v>
      </c>
      <c r="F14">
        <v>2</v>
      </c>
      <c r="G14">
        <v>4</v>
      </c>
      <c r="H14">
        <v>348.82</v>
      </c>
      <c r="I14">
        <v>2</v>
      </c>
    </row>
    <row r="15" spans="1:9" x14ac:dyDescent="0.2">
      <c r="A15" t="s">
        <v>38</v>
      </c>
      <c r="B15" t="s">
        <v>39</v>
      </c>
      <c r="C15" t="s">
        <v>37</v>
      </c>
      <c r="D15">
        <v>737</v>
      </c>
      <c r="E15">
        <v>727</v>
      </c>
      <c r="F15">
        <v>6</v>
      </c>
      <c r="G15">
        <v>4</v>
      </c>
      <c r="H15">
        <v>259.70999999999998</v>
      </c>
      <c r="I15">
        <v>2</v>
      </c>
    </row>
    <row r="16" spans="1:9" x14ac:dyDescent="0.2">
      <c r="A16" t="s">
        <v>40</v>
      </c>
      <c r="B16" t="s">
        <v>41</v>
      </c>
      <c r="C16" t="s">
        <v>37</v>
      </c>
      <c r="D16">
        <v>389</v>
      </c>
      <c r="E16">
        <v>382</v>
      </c>
      <c r="F16">
        <v>3</v>
      </c>
      <c r="G16">
        <v>4</v>
      </c>
      <c r="H16">
        <v>234.2</v>
      </c>
      <c r="I16">
        <v>2</v>
      </c>
    </row>
    <row r="17" spans="1:9" x14ac:dyDescent="0.2">
      <c r="A17" t="s">
        <v>42</v>
      </c>
      <c r="B17" t="s">
        <v>43</v>
      </c>
      <c r="C17" t="s">
        <v>37</v>
      </c>
      <c r="D17">
        <v>169</v>
      </c>
      <c r="E17">
        <v>164</v>
      </c>
      <c r="F17">
        <v>2</v>
      </c>
      <c r="G17">
        <v>3</v>
      </c>
      <c r="H17">
        <v>212.63</v>
      </c>
      <c r="I17">
        <v>2</v>
      </c>
    </row>
    <row r="18" spans="1:9" x14ac:dyDescent="0.2">
      <c r="A18" t="s">
        <v>44</v>
      </c>
      <c r="B18" t="s">
        <v>45</v>
      </c>
      <c r="C18" t="s">
        <v>37</v>
      </c>
      <c r="D18">
        <v>369</v>
      </c>
      <c r="E18">
        <v>365</v>
      </c>
      <c r="F18">
        <v>0</v>
      </c>
      <c r="G18">
        <v>4</v>
      </c>
      <c r="H18">
        <v>256.8</v>
      </c>
      <c r="I18">
        <v>2</v>
      </c>
    </row>
    <row r="19" spans="1:9" x14ac:dyDescent="0.2">
      <c r="A19" t="s">
        <v>46</v>
      </c>
      <c r="B19" t="s">
        <v>47</v>
      </c>
      <c r="C19" t="s">
        <v>48</v>
      </c>
      <c r="D19">
        <v>166</v>
      </c>
      <c r="E19">
        <v>162</v>
      </c>
      <c r="F19">
        <v>4</v>
      </c>
      <c r="G19">
        <v>0</v>
      </c>
      <c r="H19">
        <v>243.28</v>
      </c>
      <c r="I19">
        <v>2</v>
      </c>
    </row>
    <row r="20" spans="1:9" x14ac:dyDescent="0.2">
      <c r="A20" t="s">
        <v>49</v>
      </c>
      <c r="B20" t="s">
        <v>50</v>
      </c>
      <c r="C20" t="s">
        <v>48</v>
      </c>
      <c r="D20">
        <v>694</v>
      </c>
      <c r="E20">
        <v>685</v>
      </c>
      <c r="F20">
        <v>5</v>
      </c>
      <c r="G20">
        <v>4</v>
      </c>
      <c r="H20">
        <v>263.5</v>
      </c>
      <c r="I20">
        <v>2</v>
      </c>
    </row>
    <row r="21" spans="1:9" x14ac:dyDescent="0.2">
      <c r="A21" t="s">
        <v>51</v>
      </c>
      <c r="B21" t="s">
        <v>52</v>
      </c>
      <c r="C21" t="s">
        <v>48</v>
      </c>
      <c r="D21">
        <v>360</v>
      </c>
      <c r="E21">
        <v>356</v>
      </c>
      <c r="F21">
        <v>3</v>
      </c>
      <c r="G21">
        <v>1</v>
      </c>
      <c r="H21">
        <v>256.88</v>
      </c>
      <c r="I21">
        <v>2</v>
      </c>
    </row>
    <row r="22" spans="1:9" x14ac:dyDescent="0.2">
      <c r="A22" t="s">
        <v>53</v>
      </c>
      <c r="B22" t="s">
        <v>54</v>
      </c>
      <c r="C22" t="s">
        <v>48</v>
      </c>
      <c r="D22">
        <v>400</v>
      </c>
      <c r="E22">
        <v>393</v>
      </c>
      <c r="F22">
        <v>5</v>
      </c>
      <c r="G22">
        <v>2</v>
      </c>
      <c r="H22">
        <v>293.7</v>
      </c>
      <c r="I22">
        <v>2</v>
      </c>
    </row>
    <row r="23" spans="1:9" x14ac:dyDescent="0.2">
      <c r="A23" t="s">
        <v>55</v>
      </c>
      <c r="B23" t="s">
        <v>56</v>
      </c>
      <c r="C23" t="s">
        <v>48</v>
      </c>
      <c r="D23">
        <v>325</v>
      </c>
      <c r="E23">
        <v>321</v>
      </c>
      <c r="F23">
        <v>4</v>
      </c>
      <c r="G23">
        <v>0</v>
      </c>
      <c r="H23">
        <v>247.65</v>
      </c>
      <c r="I23">
        <v>2</v>
      </c>
    </row>
    <row r="24" spans="1:9" x14ac:dyDescent="0.2">
      <c r="A24" t="s">
        <v>57</v>
      </c>
      <c r="B24" t="s">
        <v>58</v>
      </c>
      <c r="C24" t="s">
        <v>48</v>
      </c>
      <c r="D24">
        <v>675</v>
      </c>
      <c r="E24">
        <v>664</v>
      </c>
      <c r="F24">
        <v>6</v>
      </c>
      <c r="G24">
        <v>5</v>
      </c>
      <c r="H24">
        <v>234.14</v>
      </c>
      <c r="I24">
        <v>2</v>
      </c>
    </row>
    <row r="25" spans="1:9" x14ac:dyDescent="0.2">
      <c r="A25" t="s">
        <v>59</v>
      </c>
      <c r="B25" t="s">
        <v>60</v>
      </c>
      <c r="C25" t="s">
        <v>48</v>
      </c>
      <c r="D25">
        <v>746</v>
      </c>
      <c r="E25">
        <v>731</v>
      </c>
      <c r="F25">
        <v>7</v>
      </c>
      <c r="G25">
        <v>8</v>
      </c>
      <c r="H25">
        <v>261.70999999999998</v>
      </c>
      <c r="I25">
        <v>2</v>
      </c>
    </row>
    <row r="26" spans="1:9" x14ac:dyDescent="0.2">
      <c r="A26" t="s">
        <v>61</v>
      </c>
      <c r="B26" t="s">
        <v>62</v>
      </c>
      <c r="C26" t="s">
        <v>48</v>
      </c>
      <c r="D26">
        <v>352</v>
      </c>
      <c r="E26">
        <v>343</v>
      </c>
      <c r="F26">
        <v>7</v>
      </c>
      <c r="G26">
        <v>2</v>
      </c>
      <c r="H26">
        <v>260.39999999999998</v>
      </c>
      <c r="I26">
        <v>2</v>
      </c>
    </row>
    <row r="27" spans="1:9" x14ac:dyDescent="0.2">
      <c r="A27" t="s">
        <v>63</v>
      </c>
      <c r="B27" t="s">
        <v>64</v>
      </c>
      <c r="C27" t="s">
        <v>65</v>
      </c>
      <c r="D27">
        <v>180</v>
      </c>
      <c r="E27">
        <v>174</v>
      </c>
      <c r="F27">
        <v>3</v>
      </c>
      <c r="G27">
        <v>3</v>
      </c>
      <c r="H27">
        <v>272.95999999999998</v>
      </c>
      <c r="I27">
        <v>3</v>
      </c>
    </row>
    <row r="28" spans="1:9" x14ac:dyDescent="0.2">
      <c r="A28" t="s">
        <v>66</v>
      </c>
      <c r="B28" t="s">
        <v>67</v>
      </c>
      <c r="C28" t="s">
        <v>65</v>
      </c>
      <c r="D28">
        <v>371</v>
      </c>
      <c r="E28">
        <v>363</v>
      </c>
      <c r="F28">
        <v>5</v>
      </c>
      <c r="G28">
        <v>3</v>
      </c>
      <c r="H28">
        <v>272.11</v>
      </c>
      <c r="I28">
        <v>2</v>
      </c>
    </row>
    <row r="29" spans="1:9" x14ac:dyDescent="0.2">
      <c r="A29" t="s">
        <v>68</v>
      </c>
      <c r="B29" t="s">
        <v>69</v>
      </c>
      <c r="C29" t="s">
        <v>65</v>
      </c>
      <c r="D29">
        <v>165</v>
      </c>
      <c r="E29">
        <v>163</v>
      </c>
      <c r="F29">
        <v>2</v>
      </c>
      <c r="G29">
        <v>0</v>
      </c>
      <c r="H29">
        <v>261.52999999999997</v>
      </c>
      <c r="I29">
        <v>3</v>
      </c>
    </row>
    <row r="30" spans="1:9" x14ac:dyDescent="0.2">
      <c r="A30" t="s">
        <v>70</v>
      </c>
      <c r="B30" t="s">
        <v>71</v>
      </c>
      <c r="C30" t="s">
        <v>65</v>
      </c>
      <c r="D30">
        <v>174</v>
      </c>
      <c r="E30">
        <v>173</v>
      </c>
      <c r="F30">
        <v>0</v>
      </c>
      <c r="G30">
        <v>1</v>
      </c>
      <c r="H30">
        <v>283.48</v>
      </c>
      <c r="I30">
        <v>2</v>
      </c>
    </row>
    <row r="31" spans="1:9" x14ac:dyDescent="0.2">
      <c r="A31" t="s">
        <v>72</v>
      </c>
      <c r="B31" t="s">
        <v>73</v>
      </c>
      <c r="C31" t="s">
        <v>74</v>
      </c>
      <c r="D31">
        <v>376</v>
      </c>
      <c r="E31">
        <v>371</v>
      </c>
      <c r="F31">
        <v>4</v>
      </c>
      <c r="G31">
        <v>1</v>
      </c>
      <c r="H31">
        <v>226.38</v>
      </c>
      <c r="I31">
        <v>2</v>
      </c>
    </row>
    <row r="32" spans="1:9" x14ac:dyDescent="0.2">
      <c r="A32" t="s">
        <v>75</v>
      </c>
      <c r="B32" t="s">
        <v>76</v>
      </c>
      <c r="C32" t="s">
        <v>74</v>
      </c>
      <c r="D32">
        <v>392</v>
      </c>
      <c r="E32">
        <v>382</v>
      </c>
      <c r="F32">
        <v>6</v>
      </c>
      <c r="G32">
        <v>4</v>
      </c>
      <c r="H32">
        <v>252.01</v>
      </c>
      <c r="I32">
        <v>2</v>
      </c>
    </row>
    <row r="33" spans="1:9" x14ac:dyDescent="0.2">
      <c r="A33" t="s">
        <v>77</v>
      </c>
      <c r="B33" t="s">
        <v>78</v>
      </c>
      <c r="C33" t="s">
        <v>74</v>
      </c>
      <c r="D33">
        <v>766</v>
      </c>
      <c r="E33">
        <v>753</v>
      </c>
      <c r="F33">
        <v>10</v>
      </c>
      <c r="G33">
        <v>3</v>
      </c>
      <c r="H33">
        <v>230.36</v>
      </c>
      <c r="I33">
        <v>2</v>
      </c>
    </row>
    <row r="34" spans="1:9" x14ac:dyDescent="0.2">
      <c r="A34" t="s">
        <v>79</v>
      </c>
      <c r="B34" t="s">
        <v>80</v>
      </c>
      <c r="C34" t="s">
        <v>74</v>
      </c>
      <c r="D34">
        <v>355</v>
      </c>
      <c r="E34">
        <v>350</v>
      </c>
      <c r="F34">
        <v>2</v>
      </c>
      <c r="G34">
        <v>3</v>
      </c>
      <c r="H34">
        <v>231.94</v>
      </c>
      <c r="I34">
        <v>2</v>
      </c>
    </row>
    <row r="35" spans="1:9" x14ac:dyDescent="0.2">
      <c r="A35" t="s">
        <v>81</v>
      </c>
      <c r="B35" t="s">
        <v>82</v>
      </c>
      <c r="C35" t="s">
        <v>74</v>
      </c>
      <c r="D35">
        <v>362</v>
      </c>
      <c r="E35">
        <v>348</v>
      </c>
      <c r="F35">
        <v>12</v>
      </c>
      <c r="G35">
        <v>2</v>
      </c>
      <c r="H35">
        <v>229.61</v>
      </c>
      <c r="I35">
        <v>3</v>
      </c>
    </row>
    <row r="36" spans="1:9" x14ac:dyDescent="0.2">
      <c r="A36" t="s">
        <v>83</v>
      </c>
      <c r="B36" t="s">
        <v>84</v>
      </c>
      <c r="C36" t="s">
        <v>74</v>
      </c>
      <c r="D36">
        <v>390</v>
      </c>
      <c r="E36">
        <v>387</v>
      </c>
      <c r="F36">
        <v>2</v>
      </c>
      <c r="G36">
        <v>1</v>
      </c>
      <c r="H36">
        <v>271.94</v>
      </c>
      <c r="I36">
        <v>2</v>
      </c>
    </row>
    <row r="37" spans="1:9" x14ac:dyDescent="0.2">
      <c r="A37" t="s">
        <v>85</v>
      </c>
      <c r="B37" t="s">
        <v>86</v>
      </c>
      <c r="C37" t="s">
        <v>87</v>
      </c>
      <c r="D37">
        <v>204</v>
      </c>
      <c r="E37">
        <v>197</v>
      </c>
      <c r="F37">
        <v>7</v>
      </c>
      <c r="G37">
        <v>0</v>
      </c>
      <c r="H37">
        <v>242.21</v>
      </c>
      <c r="I37">
        <v>2</v>
      </c>
    </row>
    <row r="38" spans="1:9" x14ac:dyDescent="0.2">
      <c r="A38" t="s">
        <v>88</v>
      </c>
      <c r="B38" t="s">
        <v>89</v>
      </c>
      <c r="C38" t="s">
        <v>87</v>
      </c>
      <c r="D38">
        <v>156</v>
      </c>
      <c r="E38">
        <v>152</v>
      </c>
      <c r="F38">
        <v>3</v>
      </c>
      <c r="G38">
        <v>1</v>
      </c>
      <c r="H38">
        <v>230.29</v>
      </c>
      <c r="I38">
        <v>2</v>
      </c>
    </row>
    <row r="39" spans="1:9" x14ac:dyDescent="0.2">
      <c r="A39" t="s">
        <v>90</v>
      </c>
      <c r="B39" t="s">
        <v>91</v>
      </c>
      <c r="C39" t="s">
        <v>87</v>
      </c>
      <c r="D39">
        <v>369</v>
      </c>
      <c r="E39">
        <v>363</v>
      </c>
      <c r="F39">
        <v>4</v>
      </c>
      <c r="G39">
        <v>2</v>
      </c>
      <c r="H39">
        <v>231.49</v>
      </c>
      <c r="I39">
        <v>2</v>
      </c>
    </row>
    <row r="40" spans="1:9" x14ac:dyDescent="0.2">
      <c r="A40" t="s">
        <v>92</v>
      </c>
      <c r="B40" t="s">
        <v>93</v>
      </c>
      <c r="C40" t="s">
        <v>87</v>
      </c>
      <c r="D40">
        <v>181</v>
      </c>
      <c r="E40">
        <v>180</v>
      </c>
      <c r="F40">
        <v>1</v>
      </c>
      <c r="G40">
        <v>0</v>
      </c>
      <c r="H40">
        <v>250.94</v>
      </c>
      <c r="I40">
        <v>2</v>
      </c>
    </row>
    <row r="41" spans="1:9" x14ac:dyDescent="0.2">
      <c r="A41" t="s">
        <v>94</v>
      </c>
      <c r="B41" t="s">
        <v>95</v>
      </c>
      <c r="C41" t="s">
        <v>87</v>
      </c>
      <c r="D41">
        <v>349</v>
      </c>
      <c r="E41">
        <v>343</v>
      </c>
      <c r="F41">
        <v>5</v>
      </c>
      <c r="G41">
        <v>1</v>
      </c>
      <c r="H41">
        <v>272.06</v>
      </c>
      <c r="I41">
        <v>2</v>
      </c>
    </row>
    <row r="42" spans="1:9" x14ac:dyDescent="0.2">
      <c r="A42" t="s">
        <v>96</v>
      </c>
      <c r="B42" t="s">
        <v>97</v>
      </c>
      <c r="C42" t="s">
        <v>87</v>
      </c>
      <c r="D42">
        <v>380</v>
      </c>
      <c r="E42">
        <v>374</v>
      </c>
      <c r="F42">
        <v>6</v>
      </c>
      <c r="G42">
        <v>0</v>
      </c>
      <c r="H42">
        <v>308.63</v>
      </c>
      <c r="I42">
        <v>2</v>
      </c>
    </row>
    <row r="43" spans="1:9" x14ac:dyDescent="0.2">
      <c r="A43" t="s">
        <v>98</v>
      </c>
      <c r="B43" t="s">
        <v>99</v>
      </c>
      <c r="C43" t="s">
        <v>87</v>
      </c>
      <c r="D43">
        <v>706</v>
      </c>
      <c r="E43">
        <v>688</v>
      </c>
      <c r="F43">
        <v>14</v>
      </c>
      <c r="G43">
        <v>4</v>
      </c>
      <c r="H43">
        <v>322.27999999999997</v>
      </c>
      <c r="I43">
        <v>2</v>
      </c>
    </row>
    <row r="44" spans="1:9" x14ac:dyDescent="0.2">
      <c r="A44" t="s">
        <v>100</v>
      </c>
      <c r="B44" t="s">
        <v>101</v>
      </c>
      <c r="C44" t="s">
        <v>102</v>
      </c>
      <c r="D44">
        <v>371</v>
      </c>
      <c r="E44">
        <v>367</v>
      </c>
      <c r="F44">
        <v>3</v>
      </c>
      <c r="G44">
        <v>1</v>
      </c>
      <c r="H44">
        <v>258.06</v>
      </c>
      <c r="I44">
        <v>2</v>
      </c>
    </row>
    <row r="45" spans="1:9" x14ac:dyDescent="0.2">
      <c r="A45" t="s">
        <v>103</v>
      </c>
      <c r="B45" t="s">
        <v>104</v>
      </c>
      <c r="C45" t="s">
        <v>102</v>
      </c>
      <c r="D45">
        <v>347</v>
      </c>
      <c r="E45">
        <v>344</v>
      </c>
      <c r="F45">
        <v>2</v>
      </c>
      <c r="G45">
        <v>1</v>
      </c>
      <c r="H45">
        <v>225.49</v>
      </c>
      <c r="I45">
        <v>2</v>
      </c>
    </row>
    <row r="46" spans="1:9" x14ac:dyDescent="0.2">
      <c r="A46" t="s">
        <v>105</v>
      </c>
      <c r="B46" t="s">
        <v>106</v>
      </c>
      <c r="C46" t="s">
        <v>102</v>
      </c>
      <c r="D46">
        <v>726</v>
      </c>
      <c r="E46">
        <v>715</v>
      </c>
      <c r="F46">
        <v>8</v>
      </c>
      <c r="G46">
        <v>3</v>
      </c>
      <c r="H46">
        <v>205.29</v>
      </c>
      <c r="I46">
        <v>2</v>
      </c>
    </row>
    <row r="47" spans="1:9" x14ac:dyDescent="0.2">
      <c r="A47" t="s">
        <v>107</v>
      </c>
      <c r="B47" t="s">
        <v>108</v>
      </c>
      <c r="C47" t="s">
        <v>109</v>
      </c>
      <c r="D47">
        <v>713</v>
      </c>
      <c r="E47">
        <v>700</v>
      </c>
      <c r="F47">
        <v>8</v>
      </c>
      <c r="G47">
        <v>5</v>
      </c>
      <c r="H47">
        <v>264.54000000000002</v>
      </c>
      <c r="I47">
        <v>2</v>
      </c>
    </row>
    <row r="48" spans="1:9" x14ac:dyDescent="0.2">
      <c r="A48" t="s">
        <v>110</v>
      </c>
      <c r="B48" t="s">
        <v>111</v>
      </c>
      <c r="C48" t="s">
        <v>109</v>
      </c>
      <c r="D48">
        <v>384</v>
      </c>
      <c r="E48">
        <v>378</v>
      </c>
      <c r="F48">
        <v>5</v>
      </c>
      <c r="G48">
        <v>1</v>
      </c>
      <c r="H48">
        <v>238.87</v>
      </c>
      <c r="I48">
        <v>2</v>
      </c>
    </row>
    <row r="49" spans="1:9" x14ac:dyDescent="0.2">
      <c r="A49" t="s">
        <v>112</v>
      </c>
      <c r="B49" t="s">
        <v>113</v>
      </c>
      <c r="C49" t="s">
        <v>109</v>
      </c>
      <c r="D49">
        <v>160</v>
      </c>
      <c r="E49">
        <v>157</v>
      </c>
      <c r="F49">
        <v>1</v>
      </c>
      <c r="G49">
        <v>2</v>
      </c>
      <c r="H49">
        <v>235.92</v>
      </c>
      <c r="I49">
        <v>1</v>
      </c>
    </row>
    <row r="50" spans="1:9" x14ac:dyDescent="0.2">
      <c r="A50" t="s">
        <v>114</v>
      </c>
      <c r="B50" t="s">
        <v>115</v>
      </c>
      <c r="C50" t="s">
        <v>109</v>
      </c>
      <c r="D50">
        <v>350</v>
      </c>
      <c r="E50">
        <v>347</v>
      </c>
      <c r="F50">
        <v>3</v>
      </c>
      <c r="G50">
        <v>0</v>
      </c>
      <c r="H50">
        <v>246.96</v>
      </c>
      <c r="I50">
        <v>2</v>
      </c>
    </row>
    <row r="51" spans="1:9" x14ac:dyDescent="0.2">
      <c r="A51" t="s">
        <v>116</v>
      </c>
      <c r="B51" t="s">
        <v>117</v>
      </c>
      <c r="C51" t="s">
        <v>109</v>
      </c>
      <c r="D51">
        <v>212</v>
      </c>
      <c r="E51">
        <v>209</v>
      </c>
      <c r="F51">
        <v>2</v>
      </c>
      <c r="G51">
        <v>1</v>
      </c>
      <c r="H51">
        <v>250.89</v>
      </c>
      <c r="I51">
        <v>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6C708-A64B-5542-9866-3552AE58F9BC}">
  <sheetPr codeName="Sheet2"/>
  <dimension ref="A1:D16"/>
  <sheetViews>
    <sheetView tabSelected="1" workbookViewId="0">
      <selection activeCell="E23" sqref="E23"/>
    </sheetView>
  </sheetViews>
  <sheetFormatPr baseColWidth="10" defaultRowHeight="16" x14ac:dyDescent="0.2"/>
  <cols>
    <col min="1" max="1" width="27" bestFit="1" customWidth="1"/>
    <col min="3" max="3" width="14.6640625" bestFit="1" customWidth="1"/>
    <col min="4" max="4" width="12.33203125" bestFit="1" customWidth="1"/>
  </cols>
  <sheetData>
    <row r="1" spans="1:4" x14ac:dyDescent="0.2">
      <c r="A1" t="s">
        <v>124</v>
      </c>
    </row>
    <row r="3" spans="1:4" x14ac:dyDescent="0.2">
      <c r="A3" t="s">
        <v>118</v>
      </c>
      <c r="B3" t="s">
        <v>24</v>
      </c>
    </row>
    <row r="4" spans="1:4" x14ac:dyDescent="0.2">
      <c r="A4" t="s">
        <v>119</v>
      </c>
      <c r="B4" t="str">
        <f>INDEX(Data!B:B, MATCH(B3,Data!A:A, 0))</f>
        <v>MILTON KEYNES BRANCH</v>
      </c>
    </row>
    <row r="6" spans="1:4" x14ac:dyDescent="0.2">
      <c r="B6" t="s">
        <v>120</v>
      </c>
      <c r="C6" t="s">
        <v>121</v>
      </c>
      <c r="D6" t="s">
        <v>122</v>
      </c>
    </row>
    <row r="7" spans="1:4" x14ac:dyDescent="0.2">
      <c r="A7" t="s">
        <v>125</v>
      </c>
      <c r="B7">
        <f>INDEX(Data!H:H, MATCH(B3,Data!A:A,0))</f>
        <v>261.17</v>
      </c>
      <c r="C7">
        <f>AVERAGE(Data!H:H)</f>
        <v>253.50580000000002</v>
      </c>
      <c r="D7" t="str">
        <f>IF(B7&gt;C7*1.1, "Review","OK")</f>
        <v>OK</v>
      </c>
    </row>
    <row r="8" spans="1:4" x14ac:dyDescent="0.2">
      <c r="A8" t="s">
        <v>123</v>
      </c>
      <c r="B8">
        <f>INDEX(Data!I:I, MATCH(B3, Data!A:A, 0))</f>
        <v>4</v>
      </c>
      <c r="C8">
        <f>AVERAGE(Data!I:I)</f>
        <v>2.08</v>
      </c>
      <c r="D8" t="str">
        <f>IF(B8 &gt; C8*1.1, "Review", "OK")</f>
        <v>Review</v>
      </c>
    </row>
    <row r="16" spans="1:4" x14ac:dyDescent="0.2">
      <c r="B1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Scorecard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Salman Khalid</cp:lastModifiedBy>
  <dcterms:created xsi:type="dcterms:W3CDTF">2026-10-06T18:35:59Z</dcterms:created>
  <dcterms:modified xsi:type="dcterms:W3CDTF">2026-10-07T18:47:14Z</dcterms:modified>
</cp:coreProperties>
</file>